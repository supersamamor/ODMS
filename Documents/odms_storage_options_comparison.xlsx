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 Matrix" sheetId="1" state="visible" r:id="rId3"/>
    <sheet name="Weighted Scoring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<sst xmlns="http://schemas.openxmlformats.org/spreadsheetml/2006/main" count="176" uniqueCount="149">
  <si>
    <t xml:space="preserve">ODMS document storage - options comparison</t>
  </si>
  <si>
    <t xml:space="preserve">Four architecture options for where ODMS stores uploaded documents. Prepared 21 July 2026.</t>
  </si>
  <si>
    <t xml:space="preserve">Criteria</t>
  </si>
  <si>
    <t xml:space="preserve">A - On web server</t>
  </si>
  <si>
    <t xml:space="preserve">B - Azure Blob Storage</t>
  </si>
  <si>
    <t xml:space="preserve">C - SharePoint Online</t>
  </si>
  <si>
    <t xml:space="preserve">D - Separate file server</t>
  </si>
  <si>
    <t xml:space="preserve">Architecture</t>
  </si>
  <si>
    <t xml:space="preserve">Where documents live</t>
  </si>
  <si>
    <t xml:space="preserve">Local disk on web host</t>
  </si>
  <si>
    <t xml:space="preserve">Azure storage account</t>
  </si>
  <si>
    <t xml:space="preserve">Microsoft 365 document library</t>
  </si>
  <si>
    <t xml:space="preserve">Dedicated on-premises host</t>
  </si>
  <si>
    <t xml:space="preserve">Protocol / SDK</t>
  </si>
  <si>
    <t xml:space="preserve">Local file path</t>
  </si>
  <si>
    <t xml:space="preserve">HTTPS - Azure.Storage.Blobs SDK</t>
  </si>
  <si>
    <t xml:space="preserve">HTTPS - Microsoft Graph API</t>
  </si>
  <si>
    <t xml:space="preserve">SMB 445 - UNC path</t>
  </si>
  <si>
    <t xml:space="preserve">Hosts to maintain</t>
  </si>
  <si>
    <t xml:space="preserve">2</t>
  </si>
  <si>
    <t xml:space="preserve">3</t>
  </si>
  <si>
    <t xml:space="preserve">Data location</t>
  </si>
  <si>
    <t xml:space="preserve">On-premises</t>
  </si>
  <si>
    <t xml:space="preserve">Azure region</t>
  </si>
  <si>
    <t xml:space="preserve">Microsoft 365 tenant</t>
  </si>
  <si>
    <t xml:space="preserve">Internet dependency</t>
  </si>
  <si>
    <t xml:space="preserve">None</t>
  </si>
  <si>
    <t xml:space="preserve">Hard dependency</t>
  </si>
  <si>
    <t xml:space="preserve">Delivery</t>
  </si>
  <si>
    <t xml:space="preserve">Migration effort from A</t>
  </si>
  <si>
    <t xml:space="preserve">n/a - current state</t>
  </si>
  <si>
    <t xml:space="preserve">Medium</t>
  </si>
  <si>
    <t xml:space="preserve">High</t>
  </si>
  <si>
    <t xml:space="preserve">Low</t>
  </si>
  <si>
    <t xml:space="preserve">Application code change</t>
  </si>
  <si>
    <t xml:space="preserve">n/a</t>
  </si>
  <si>
    <t xml:space="preserve">Replace file I/O with SDK calls</t>
  </si>
  <si>
    <t xml:space="preserve">Replace file I/O with Graph; schema change</t>
  </si>
  <si>
    <t xml:space="preserve">Local path becomes UNC path</t>
  </si>
  <si>
    <t xml:space="preserve">Schema impact</t>
  </si>
  <si>
    <t xml:space="preserve">Store blob URI</t>
  </si>
  <si>
    <t xml:space="preserve">Store drive item ID / URL</t>
  </si>
  <si>
    <t xml:space="preserve">Store UNC path</t>
  </si>
  <si>
    <t xml:space="preserve">Operations</t>
  </si>
  <si>
    <t xml:space="preserve">Backup and DR owner</t>
  </si>
  <si>
    <t xml:space="preserve">You</t>
  </si>
  <si>
    <t xml:space="preserve">Microsoft</t>
  </si>
  <si>
    <t xml:space="preserve">Patching and disk management</t>
  </si>
  <si>
    <t xml:space="preserve">Scales past web server disk</t>
  </si>
  <si>
    <t xml:space="preserve">No</t>
  </si>
  <si>
    <t xml:space="preserve">Yes - effectively unlimited</t>
  </si>
  <si>
    <t xml:space="preserve">Yes - subject to tenant quota</t>
  </si>
  <si>
    <t xml:space="preserve">Yes - to array capacity</t>
  </si>
  <si>
    <t xml:space="preserve">Documents survive web server loss</t>
  </si>
  <si>
    <t xml:space="preserve">Yes</t>
  </si>
  <si>
    <t xml:space="preserve">Capability</t>
  </si>
  <si>
    <t xml:space="preserve">Built-in versioning</t>
  </si>
  <si>
    <t xml:space="preserve">Optional - blob versioning</t>
  </si>
  <si>
    <t xml:space="preserve">Yes - native</t>
  </si>
  <si>
    <t xml:space="preserve">Full-text search</t>
  </si>
  <si>
    <t xml:space="preserve">Build it</t>
  </si>
  <si>
    <t xml:space="preserve">Build it or add AI Search</t>
  </si>
  <si>
    <t xml:space="preserve">Retention and compliance labels</t>
  </si>
  <si>
    <t xml:space="preserve">Immutability policies</t>
  </si>
  <si>
    <t xml:space="preserve">User access outside ODMS</t>
  </si>
  <si>
    <t xml:space="preserve">Yes - Teams, OneDrive, web</t>
  </si>
  <si>
    <t xml:space="preserve">Yes - mapped drive</t>
  </si>
  <si>
    <t xml:space="preserve">Cost and risk</t>
  </si>
  <si>
    <t xml:space="preserve">Cost model</t>
  </si>
  <si>
    <t xml:space="preserve">Existing hardware</t>
  </si>
  <si>
    <t xml:space="preserve">Per GB + egress + transactions</t>
  </si>
  <si>
    <t xml:space="preserve">Per-user M365 licensing</t>
  </si>
  <si>
    <t xml:space="preserve">Capex - one additional server</t>
  </si>
  <si>
    <t xml:space="preserve">Main risk</t>
  </si>
  <si>
    <t xml:space="preserve">Single point of failure for app and documents</t>
  </si>
  <si>
    <t xml:space="preserve">WAN outage blocks all document access</t>
  </si>
  <si>
    <t xml:space="preserve">Graph throttling; split permissions model</t>
  </si>
  <si>
    <t xml:space="preserve">Operational burden stays in-house</t>
  </si>
  <si>
    <t xml:space="preserve">Pros</t>
  </si>
  <si>
    <t xml:space="preserve">Simplest deployment. No network hop, lowest latency. Nothing new to buy or learn.</t>
  </si>
  <si>
    <t xml:space="preserve">Durable and geo-redundant. Cheap at scale. SAS URIs let clients download directly, bypassing the web server. No size ceiling.</t>
  </si>
  <si>
    <t xml:space="preserve">Document management comes free: versioning, retention, co-authoring, search. Users reach documents through Teams and OneDrive.</t>
  </si>
  <si>
    <t xml:space="preserve">Removes the single point of failure at low cost. No cloud dependency, no new licensing. Data stays in-country.</t>
  </si>
  <si>
    <t xml:space="preserve">Cons</t>
  </si>
  <si>
    <t xml:space="preserve">Documents share failure domain and disk I/O with IIS. Backup is manual. Hardest option to scale.</t>
  </si>
  <si>
    <t xml:space="preserve">New WAN dependency. Egress and transaction costs. Higher latency than local disk. Auth setup needed for on-premises hosts.</t>
  </si>
  <si>
    <t xml:space="preserve">Graph throttling affects bulk jobs. Permissions live in two systems that must agree. Per-user cost. ODMS references documents rather than owning them.</t>
  </si>
  <si>
    <t xml:space="preserve">Backup, DR and patching remain yours. SMB latency and share permissions become new failure modes. No versioning or search.</t>
  </si>
  <si>
    <t xml:space="preserve">Best when</t>
  </si>
  <si>
    <t xml:space="preserve">Small internal system, low document volume, minimal budget.</t>
  </si>
  <si>
    <t xml:space="preserve">High volume with growth expected, and cloud is already approved.</t>
  </si>
  <si>
    <t xml:space="preserve">Users need to work with documents outside ODMS, and governance features matter.</t>
  </si>
  <si>
    <t xml:space="preserve">The single point of failure must be fixed now, with minimal code change and no cloud.</t>
  </si>
  <si>
    <t xml:space="preserve">Note: Option A is the current state. All four keep the DMS application and SQL Server on-premises; only document storage differs.</t>
  </si>
  <si>
    <t xml:space="preserve">Weighted decision scorecard</t>
  </si>
  <si>
    <t xml:space="preserve">Edit the blue weight cells and the blue 1-5 scores. Totals recalculate automatically. Higher score = better.</t>
  </si>
  <si>
    <t xml:space="preserve">Weight</t>
  </si>
  <si>
    <t xml:space="preserve">B - Azure Blob</t>
  </si>
  <si>
    <t xml:space="preserve">C - SharePoint</t>
  </si>
  <si>
    <t xml:space="preserve">D - File server</t>
  </si>
  <si>
    <t xml:space="preserve">Notes</t>
  </si>
  <si>
    <t xml:space="preserve">Resilience - documents survive host loss</t>
  </si>
  <si>
    <t xml:space="preserve">A is the only option with a shared failure domain</t>
  </si>
  <si>
    <t xml:space="preserve">Low migration effort</t>
  </si>
  <si>
    <t xml:space="preserve">Measured against current state (A)</t>
  </si>
  <si>
    <t xml:space="preserve">Low ongoing cost</t>
  </si>
  <si>
    <t xml:space="preserve">A and D use existing capex; B and C are recurring</t>
  </si>
  <si>
    <t xml:space="preserve">Operational burden avoided</t>
  </si>
  <si>
    <t xml:space="preserve">Who owns backup, DR and patching</t>
  </si>
  <si>
    <t xml:space="preserve">Document capability (versioning, search)</t>
  </si>
  <si>
    <t xml:space="preserve">Native features vs build-it-yourself</t>
  </si>
  <si>
    <t xml:space="preserve">Independence from internet</t>
  </si>
  <si>
    <t xml:space="preserve">Relevant if WAN reliability is a concern</t>
  </si>
  <si>
    <t xml:space="preserve">Weight total (must equal 100%)</t>
  </si>
  <si>
    <t xml:space="preserve">Weighted score (out of 5)</t>
  </si>
  <si>
    <t xml:space="preserve">Rank</t>
  </si>
  <si>
    <t xml:space="preserve">How to use this sheet:</t>
  </si>
  <si>
    <t xml:space="preserve">1. Adjust the yellow weight cells to reflect what matters to your organisation. They must total 100%.</t>
  </si>
  <si>
    <t xml:space="preserve">2. Adjust the blue 1-5 scores if you disagree with the assessment. 5 = best, 1 = worst.</t>
  </si>
  <si>
    <t xml:space="preserve">3. The weighted score and rank update automatically.</t>
  </si>
  <si>
    <t xml:space="preserve">Scores are a starting assessment, not a recommendation. The weights are the real decision -</t>
  </si>
  <si>
    <t xml:space="preserve">an organisation that cannot use cloud should set 'Independence from internet' high, which favours A and D.</t>
  </si>
  <si>
    <t xml:space="preserve">Assumptions and sources</t>
  </si>
  <si>
    <t xml:space="preserve">Item</t>
  </si>
  <si>
    <t xml:space="preserve">Assumption</t>
  </si>
  <si>
    <t xml:space="preserve">Source</t>
  </si>
  <si>
    <t xml:space="preserve">Current state</t>
  </si>
  <si>
    <t xml:space="preserve">One web server (DMS) and one MSSQL database server. File storage currently resides on the web server.</t>
  </si>
  <si>
    <t xml:space="preserve">Stated by user, 21 July 2026</t>
  </si>
  <si>
    <t xml:space="preserve">Application stack</t>
  </si>
  <si>
    <t xml:space="preserve">ASP.NET Core Razor Pages on IIS, Windows Server, Entity Framework Core to SQL Server.</t>
  </si>
  <si>
    <t xml:space="preserve">Inferred from project context - confirm before circulating</t>
  </si>
  <si>
    <t xml:space="preserve">Option B auth</t>
  </si>
  <si>
    <t xml:space="preserve">Managed identity assumed. A plain on-premises host would more likely use a service principal or key vault connection string.</t>
  </si>
  <si>
    <t xml:space="preserve">Assumption - not confirmed</t>
  </si>
  <si>
    <t xml:space="preserve">Option C ownership</t>
  </si>
  <si>
    <t xml:space="preserve">SharePoint owns the documents; ODMS stores references. This requires a schema column for the drive item ID or URL.</t>
  </si>
  <si>
    <t xml:space="preserve">Architectural consequence of option C</t>
  </si>
  <si>
    <t xml:space="preserve">Option D protocol</t>
  </si>
  <si>
    <t xml:space="preserve">SMB over UNC path with a dedicated service account.</t>
  </si>
  <si>
    <t xml:space="preserve">Cost figures</t>
  </si>
  <si>
    <t xml:space="preserve">No monetary estimates included. Azure and M365 pricing depend on tenant agreement, region and document volume.</t>
  </si>
  <si>
    <t xml:space="preserve">Requires input from procurement</t>
  </si>
  <si>
    <t xml:space="preserve">Document volume</t>
  </si>
  <si>
    <t xml:space="preserve">Not supplied. Volume materially affects options B and C (transaction costs, throttling limits).</t>
  </si>
  <si>
    <t xml:space="preserve">Open question for the user</t>
  </si>
  <si>
    <t xml:space="preserve">Scores in Weighted Scoring</t>
  </si>
  <si>
    <t xml:space="preserve">A starting assessment for discussion, not a recommendation. Intended to be edited.</t>
  </si>
  <si>
    <t xml:space="preserve">Author judgement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</si>
</sst>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5"/>
      <c r="C5" s="5"/>
      <c r="D5" s="5"/>
      <c r="E5" s="5"/>
    </row>
    <row r="6" customFormat="false" ht="15" hidden="false" customHeight="fals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customFormat="false" ht="15" hidden="false" customHeight="false" outlineLevel="0" collapsed="false">
      <c r="A7" s="6" t="s">
        <v>13</v>
      </c>
      <c r="B7" s="7" t="s">
        <v>14</v>
      </c>
      <c r="C7" s="7" t="s">
        <v>15</v>
      </c>
      <c r="D7" s="7" t="s">
        <v>16</v>
      </c>
      <c r="E7" s="7" t="s">
        <v>17</v>
      </c>
    </row>
    <row r="8" customFormat="false" ht="15" hidden="false" customHeight="false" outlineLevel="0" collapsed="false">
      <c r="A8" s="6" t="s">
        <v>18</v>
      </c>
      <c r="B8" s="7" t="s">
        <v>19</v>
      </c>
      <c r="C8" s="7" t="s">
        <v>19</v>
      </c>
      <c r="D8" s="7" t="s">
        <v>19</v>
      </c>
      <c r="E8" s="7" t="s">
        <v>20</v>
      </c>
    </row>
    <row r="9" customFormat="false" ht="15" hidden="false" customHeight="false" outlineLevel="0" collapsed="false">
      <c r="A9" s="6" t="s">
        <v>21</v>
      </c>
      <c r="B9" s="7" t="s">
        <v>22</v>
      </c>
      <c r="C9" s="7" t="s">
        <v>23</v>
      </c>
      <c r="D9" s="7" t="s">
        <v>24</v>
      </c>
      <c r="E9" s="7" t="s">
        <v>22</v>
      </c>
    </row>
    <row r="10" customFormat="false" ht="15" hidden="false" customHeight="false" outlineLevel="0" collapsed="false">
      <c r="A10" s="6" t="s">
        <v>25</v>
      </c>
      <c r="B10" s="7" t="s">
        <v>26</v>
      </c>
      <c r="C10" s="7" t="s">
        <v>27</v>
      </c>
      <c r="D10" s="7" t="s">
        <v>27</v>
      </c>
      <c r="E10" s="7" t="s">
        <v>26</v>
      </c>
    </row>
    <row r="11" customFormat="false" ht="18" hidden="false" customHeight="true" outlineLevel="0" collapsed="false">
      <c r="A11" s="4" t="s">
        <v>28</v>
      </c>
      <c r="B11" s="5"/>
      <c r="C11" s="5"/>
      <c r="D11" s="5"/>
      <c r="E11" s="5"/>
    </row>
    <row r="12" customFormat="false" ht="15" hidden="false" customHeight="false" outlineLevel="0" collapsed="false">
      <c r="A12" s="6" t="s">
        <v>29</v>
      </c>
      <c r="B12" s="7" t="s">
        <v>30</v>
      </c>
      <c r="C12" s="7" t="s">
        <v>31</v>
      </c>
      <c r="D12" s="7" t="s">
        <v>32</v>
      </c>
      <c r="E12" s="7" t="s">
        <v>33</v>
      </c>
    </row>
    <row r="13" customFormat="false" ht="15" hidden="false" customHeight="false" outlineLevel="0" collapsed="false">
      <c r="A13" s="6" t="s">
        <v>34</v>
      </c>
      <c r="B13" s="7" t="s">
        <v>35</v>
      </c>
      <c r="C13" s="7" t="s">
        <v>36</v>
      </c>
      <c r="D13" s="7" t="s">
        <v>37</v>
      </c>
      <c r="E13" s="7" t="s">
        <v>38</v>
      </c>
    </row>
    <row r="14" customFormat="false" ht="15" hidden="false" customHeight="false" outlineLevel="0" collapsed="false">
      <c r="A14" s="6" t="s">
        <v>39</v>
      </c>
      <c r="B14" s="7" t="s">
        <v>26</v>
      </c>
      <c r="C14" s="7" t="s">
        <v>40</v>
      </c>
      <c r="D14" s="7" t="s">
        <v>41</v>
      </c>
      <c r="E14" s="7" t="s">
        <v>42</v>
      </c>
    </row>
    <row r="15" customFormat="false" ht="18" hidden="false" customHeight="true" outlineLevel="0" collapsed="false">
      <c r="A15" s="4" t="s">
        <v>43</v>
      </c>
      <c r="B15" s="5"/>
      <c r="C15" s="5"/>
      <c r="D15" s="5"/>
      <c r="E15" s="5"/>
    </row>
    <row r="16" customFormat="false" ht="15" hidden="false" customHeight="false" outlineLevel="0" collapsed="false">
      <c r="A16" s="6" t="s">
        <v>44</v>
      </c>
      <c r="B16" s="7" t="s">
        <v>45</v>
      </c>
      <c r="C16" s="7" t="s">
        <v>46</v>
      </c>
      <c r="D16" s="7" t="s">
        <v>46</v>
      </c>
      <c r="E16" s="7" t="s">
        <v>45</v>
      </c>
    </row>
    <row r="17" customFormat="false" ht="15" hidden="false" customHeight="false" outlineLevel="0" collapsed="false">
      <c r="A17" s="6" t="s">
        <v>47</v>
      </c>
      <c r="B17" s="7" t="s">
        <v>45</v>
      </c>
      <c r="C17" s="7" t="s">
        <v>46</v>
      </c>
      <c r="D17" s="7" t="s">
        <v>46</v>
      </c>
      <c r="E17" s="7" t="s">
        <v>45</v>
      </c>
    </row>
    <row r="18" customFormat="false" ht="15" hidden="false" customHeight="false" outlineLevel="0" collapsed="false">
      <c r="A18" s="6" t="s">
        <v>48</v>
      </c>
      <c r="B18" s="7" t="s">
        <v>49</v>
      </c>
      <c r="C18" s="7" t="s">
        <v>50</v>
      </c>
      <c r="D18" s="7" t="s">
        <v>51</v>
      </c>
      <c r="E18" s="7" t="s">
        <v>52</v>
      </c>
    </row>
    <row r="19" customFormat="false" ht="15" hidden="false" customHeight="false" outlineLevel="0" collapsed="false">
      <c r="A19" s="6" t="s">
        <v>53</v>
      </c>
      <c r="B19" s="7" t="s">
        <v>49</v>
      </c>
      <c r="C19" s="7" t="s">
        <v>54</v>
      </c>
      <c r="D19" s="7" t="s">
        <v>54</v>
      </c>
      <c r="E19" s="7" t="s">
        <v>54</v>
      </c>
    </row>
    <row r="20" customFormat="false" ht="18" hidden="false" customHeight="true" outlineLevel="0" collapsed="false">
      <c r="A20" s="4" t="s">
        <v>55</v>
      </c>
      <c r="B20" s="5"/>
      <c r="C20" s="5"/>
      <c r="D20" s="5"/>
      <c r="E20" s="5"/>
    </row>
    <row r="21" customFormat="false" ht="15" hidden="false" customHeight="false" outlineLevel="0" collapsed="false">
      <c r="A21" s="6" t="s">
        <v>56</v>
      </c>
      <c r="B21" s="7" t="s">
        <v>49</v>
      </c>
      <c r="C21" s="7" t="s">
        <v>57</v>
      </c>
      <c r="D21" s="7" t="s">
        <v>58</v>
      </c>
      <c r="E21" s="7" t="s">
        <v>49</v>
      </c>
    </row>
    <row r="22" customFormat="false" ht="15" hidden="false" customHeight="false" outlineLevel="0" collapsed="false">
      <c r="A22" s="6" t="s">
        <v>59</v>
      </c>
      <c r="B22" s="7" t="s">
        <v>60</v>
      </c>
      <c r="C22" s="7" t="s">
        <v>61</v>
      </c>
      <c r="D22" s="7" t="s">
        <v>58</v>
      </c>
      <c r="E22" s="7" t="s">
        <v>60</v>
      </c>
    </row>
    <row r="23" customFormat="false" ht="15" hidden="false" customHeight="false" outlineLevel="0" collapsed="false">
      <c r="A23" s="6" t="s">
        <v>62</v>
      </c>
      <c r="B23" s="7" t="s">
        <v>49</v>
      </c>
      <c r="C23" s="7" t="s">
        <v>63</v>
      </c>
      <c r="D23" s="7" t="s">
        <v>58</v>
      </c>
      <c r="E23" s="7" t="s">
        <v>49</v>
      </c>
    </row>
    <row r="24" customFormat="false" ht="15" hidden="false" customHeight="false" outlineLevel="0" collapsed="false">
      <c r="A24" s="6" t="s">
        <v>64</v>
      </c>
      <c r="B24" s="7" t="s">
        <v>49</v>
      </c>
      <c r="C24" s="7" t="s">
        <v>49</v>
      </c>
      <c r="D24" s="7" t="s">
        <v>65</v>
      </c>
      <c r="E24" s="7" t="s">
        <v>66</v>
      </c>
    </row>
    <row r="25" customFormat="false" ht="18" hidden="false" customHeight="true" outlineLevel="0" collapsed="false">
      <c r="A25" s="4" t="s">
        <v>67</v>
      </c>
      <c r="B25" s="5"/>
      <c r="C25" s="5"/>
      <c r="D25" s="5"/>
      <c r="E25" s="5"/>
    </row>
    <row r="26" customFormat="false" ht="15" hidden="false" customHeight="false" outlineLevel="0" collapsed="false">
      <c r="A26" s="6" t="s">
        <v>68</v>
      </c>
      <c r="B26" s="7" t="s">
        <v>69</v>
      </c>
      <c r="C26" s="7" t="s">
        <v>70</v>
      </c>
      <c r="D26" s="7" t="s">
        <v>71</v>
      </c>
      <c r="E26" s="7" t="s">
        <v>72</v>
      </c>
    </row>
    <row r="27" customFormat="false" ht="15" hidden="false" customHeight="false" outlineLevel="0" collapsed="false">
      <c r="A27" s="6" t="s">
        <v>73</v>
      </c>
      <c r="B27" s="7" t="s">
        <v>74</v>
      </c>
      <c r="C27" s="7" t="s">
        <v>75</v>
      </c>
      <c r="D27" s="7" t="s">
        <v>76</v>
      </c>
      <c r="E27" s="7" t="s">
        <v>77</v>
      </c>
    </row>
    <row r="29" customFormat="false" ht="91.5" hidden="false" customHeight="true" outlineLevel="0" collapsed="false">
      <c r="A29" s="8" t="s">
        <v>78</v>
      </c>
      <c r="B29" s="9" t="s">
        <v>79</v>
      </c>
      <c r="C29" s="9" t="s">
        <v>80</v>
      </c>
      <c r="D29" s="9" t="s">
        <v>81</v>
      </c>
      <c r="E29" s="9" t="s">
        <v>82</v>
      </c>
    </row>
    <row r="30" customFormat="false" ht="91.5" hidden="false" customHeight="true" outlineLevel="0" collapsed="false">
      <c r="A30" s="8" t="s">
        <v>83</v>
      </c>
      <c r="B30" s="10" t="s">
        <v>84</v>
      </c>
      <c r="C30" s="10" t="s">
        <v>85</v>
      </c>
      <c r="D30" s="10" t="s">
        <v>86</v>
      </c>
      <c r="E30" s="10" t="s">
        <v>87</v>
      </c>
    </row>
    <row r="31" customFormat="false" ht="91.5" hidden="false" customHeight="true" outlineLevel="0" collapsed="false">
      <c r="A31" s="8" t="s">
        <v>88</v>
      </c>
      <c r="B31" s="11" t="s">
        <v>89</v>
      </c>
      <c r="C31" s="11" t="s">
        <v>90</v>
      </c>
      <c r="D31" s="11" t="s">
        <v>91</v>
      </c>
      <c r="E31" s="11" t="s">
        <v>92</v>
      </c>
    </row>
    <row r="33" customFormat="false" ht="15" hidden="false" customHeight="false" outlineLevel="0" collapsed="false">
      <c r="A33" s="2" t="s">
        <v>93</v>
      </c>
      <c r="B33" s="2"/>
      <c r="C33" s="2"/>
      <c r="D33" s="2"/>
      <c r="E33" s="2"/>
    </row>
  </sheetData>
  <mergeCells count="3">
    <mergeCell ref="A1:E1"/>
    <mergeCell ref="A2:E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6" min="3" style="0" width="17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94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96</v>
      </c>
      <c r="C4" s="3" t="s">
        <v>3</v>
      </c>
      <c r="D4" s="3" t="s">
        <v>97</v>
      </c>
      <c r="E4" s="3" t="s">
        <v>98</v>
      </c>
      <c r="F4" s="3" t="s">
        <v>99</v>
      </c>
      <c r="G4" s="3" t="s">
        <v>100</v>
      </c>
    </row>
    <row r="5" customFormat="false" ht="15" hidden="false" customHeight="false" outlineLevel="0" collapsed="false">
      <c r="A5" s="7" t="s">
        <v>101</v>
      </c>
      <c r="B5" s="12" t="n">
        <v>0.25</v>
      </c>
      <c r="C5" s="13" t="n">
        <v>1</v>
      </c>
      <c r="D5" s="13" t="n">
        <v>5</v>
      </c>
      <c r="E5" s="13" t="n">
        <v>5</v>
      </c>
      <c r="F5" s="13" t="n">
        <v>4</v>
      </c>
      <c r="G5" s="14" t="s">
        <v>102</v>
      </c>
    </row>
    <row r="6" customFormat="false" ht="15" hidden="false" customHeight="false" outlineLevel="0" collapsed="false">
      <c r="A6" s="7" t="s">
        <v>103</v>
      </c>
      <c r="B6" s="12" t="n">
        <v>0.2</v>
      </c>
      <c r="C6" s="13" t="n">
        <v>5</v>
      </c>
      <c r="D6" s="13" t="n">
        <v>3</v>
      </c>
      <c r="E6" s="13" t="n">
        <v>2</v>
      </c>
      <c r="F6" s="13" t="n">
        <v>4</v>
      </c>
      <c r="G6" s="14" t="s">
        <v>104</v>
      </c>
    </row>
    <row r="7" customFormat="false" ht="15" hidden="false" customHeight="false" outlineLevel="0" collapsed="false">
      <c r="A7" s="7" t="s">
        <v>105</v>
      </c>
      <c r="B7" s="12" t="n">
        <v>0.15</v>
      </c>
      <c r="C7" s="13" t="n">
        <v>5</v>
      </c>
      <c r="D7" s="13" t="n">
        <v>3</v>
      </c>
      <c r="E7" s="13" t="n">
        <v>2</v>
      </c>
      <c r="F7" s="13" t="n">
        <v>3</v>
      </c>
      <c r="G7" s="14" t="s">
        <v>106</v>
      </c>
    </row>
    <row r="8" customFormat="false" ht="15" hidden="false" customHeight="false" outlineLevel="0" collapsed="false">
      <c r="A8" s="7" t="s">
        <v>107</v>
      </c>
      <c r="B8" s="12" t="n">
        <v>0.15</v>
      </c>
      <c r="C8" s="13" t="n">
        <v>2</v>
      </c>
      <c r="D8" s="13" t="n">
        <v>5</v>
      </c>
      <c r="E8" s="13" t="n">
        <v>5</v>
      </c>
      <c r="F8" s="13" t="n">
        <v>2</v>
      </c>
      <c r="G8" s="14" t="s">
        <v>108</v>
      </c>
    </row>
    <row r="9" customFormat="false" ht="15" hidden="false" customHeight="false" outlineLevel="0" collapsed="false">
      <c r="A9" s="7" t="s">
        <v>109</v>
      </c>
      <c r="B9" s="12" t="n">
        <v>0.15</v>
      </c>
      <c r="C9" s="13" t="n">
        <v>1</v>
      </c>
      <c r="D9" s="13" t="n">
        <v>2</v>
      </c>
      <c r="E9" s="13" t="n">
        <v>5</v>
      </c>
      <c r="F9" s="13" t="n">
        <v>1</v>
      </c>
      <c r="G9" s="14" t="s">
        <v>110</v>
      </c>
    </row>
    <row r="10" customFormat="false" ht="15" hidden="false" customHeight="false" outlineLevel="0" collapsed="false">
      <c r="A10" s="7" t="s">
        <v>111</v>
      </c>
      <c r="B10" s="12" t="n">
        <v>0.1</v>
      </c>
      <c r="C10" s="13" t="n">
        <v>5</v>
      </c>
      <c r="D10" s="13" t="n">
        <v>1</v>
      </c>
      <c r="E10" s="13" t="n">
        <v>1</v>
      </c>
      <c r="F10" s="13" t="n">
        <v>5</v>
      </c>
      <c r="G10" s="14" t="s">
        <v>112</v>
      </c>
    </row>
    <row r="11" customFormat="false" ht="15" hidden="false" customHeight="false" outlineLevel="0" collapsed="false">
      <c r="A11" s="15" t="s">
        <v>113</v>
      </c>
      <c r="B11" s="16" t="n">
        <f aca="false">SUM(B5:B10)</f>
        <v>1</v>
      </c>
      <c r="C11" s="17"/>
      <c r="D11" s="17"/>
      <c r="E11" s="17"/>
      <c r="F11" s="17"/>
      <c r="G11" s="17"/>
    </row>
    <row r="13" customFormat="false" ht="15" hidden="false" customHeight="false" outlineLevel="0" collapsed="false">
      <c r="A13" s="6" t="s">
        <v>114</v>
      </c>
      <c r="B13" s="17"/>
      <c r="C13" s="18" t="n">
        <f aca="false">SUMPRODUCT($B$5:$B$10,C5:C10)</f>
        <v>2.95</v>
      </c>
      <c r="D13" s="18" t="n">
        <f aca="false">SUMPRODUCT($B$5:$B$10,D5:D10)</f>
        <v>3.45</v>
      </c>
      <c r="E13" s="18" t="n">
        <f aca="false">SUMPRODUCT($B$5:$B$10,E5:E10)</f>
        <v>3.55</v>
      </c>
      <c r="F13" s="18" t="n">
        <f aca="false">SUMPRODUCT($B$5:$B$10,F5:F10)</f>
        <v>3.2</v>
      </c>
      <c r="G13" s="17"/>
    </row>
    <row r="14" customFormat="false" ht="15" hidden="false" customHeight="false" outlineLevel="0" collapsed="false">
      <c r="A14" s="15" t="s">
        <v>115</v>
      </c>
      <c r="B14" s="17"/>
      <c r="C14" s="19" t="n">
        <f aca="false">RANK(C13,$C$13:$F$13)</f>
        <v>4</v>
      </c>
      <c r="D14" s="19" t="n">
        <f aca="false">RANK(D13,$C$13:$F$13)</f>
        <v>2</v>
      </c>
      <c r="E14" s="19" t="n">
        <f aca="false">RANK(E13,$C$13:$F$13)</f>
        <v>1</v>
      </c>
      <c r="F14" s="19" t="n">
        <f aca="false">RANK(F13,$C$13:$F$13)</f>
        <v>3</v>
      </c>
      <c r="G14" s="17"/>
    </row>
    <row r="16" customFormat="false" ht="15" hidden="false" customHeight="false" outlineLevel="0" collapsed="false">
      <c r="A16" s="2" t="s">
        <v>116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2" t="s">
        <v>117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 t="s">
        <v>118</v>
      </c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2" t="s">
        <v>119</v>
      </c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</row>
    <row r="21" customFormat="false" ht="15" hidden="false" customHeight="false" outlineLevel="0" collapsed="false">
      <c r="A21" s="2" t="s">
        <v>120</v>
      </c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2" t="s">
        <v>121</v>
      </c>
      <c r="B22" s="2"/>
      <c r="C22" s="2"/>
      <c r="D22" s="2"/>
      <c r="E22" s="2"/>
      <c r="F22" s="2"/>
      <c r="G22" s="2"/>
    </row>
  </sheetData>
  <mergeCells count="9">
    <mergeCell ref="A1:G1"/>
    <mergeCell ref="A2:G2"/>
    <mergeCell ref="A16:G16"/>
    <mergeCell ref="A17:G17"/>
    <mergeCell ref="A18:G18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6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122</v>
      </c>
      <c r="B1" s="1"/>
      <c r="C1" s="1"/>
    </row>
    <row r="3" customFormat="false" ht="15" hidden="false" customHeight="false" outlineLevel="0" collapsed="false">
      <c r="A3" s="3" t="s">
        <v>123</v>
      </c>
      <c r="B3" s="3" t="s">
        <v>124</v>
      </c>
      <c r="C3" s="3" t="s">
        <v>125</v>
      </c>
    </row>
    <row r="4" customFormat="false" ht="43.5" hidden="false" customHeight="true" outlineLevel="0" collapsed="false">
      <c r="A4" s="6" t="s">
        <v>126</v>
      </c>
      <c r="B4" s="7" t="s">
        <v>127</v>
      </c>
      <c r="C4" s="14" t="s">
        <v>128</v>
      </c>
    </row>
    <row r="5" customFormat="false" ht="43.5" hidden="false" customHeight="true" outlineLevel="0" collapsed="false">
      <c r="A5" s="6" t="s">
        <v>129</v>
      </c>
      <c r="B5" s="7" t="s">
        <v>130</v>
      </c>
      <c r="C5" s="14" t="s">
        <v>131</v>
      </c>
    </row>
    <row r="6" customFormat="false" ht="43.5" hidden="false" customHeight="true" outlineLevel="0" collapsed="false">
      <c r="A6" s="6" t="s">
        <v>132</v>
      </c>
      <c r="B6" s="7" t="s">
        <v>133</v>
      </c>
      <c r="C6" s="14" t="s">
        <v>134</v>
      </c>
    </row>
    <row r="7" customFormat="false" ht="43.5" hidden="false" customHeight="true" outlineLevel="0" collapsed="false">
      <c r="A7" s="6" t="s">
        <v>135</v>
      </c>
      <c r="B7" s="7" t="s">
        <v>136</v>
      </c>
      <c r="C7" s="14" t="s">
        <v>137</v>
      </c>
    </row>
    <row r="8" customFormat="false" ht="43.5" hidden="false" customHeight="true" outlineLevel="0" collapsed="false">
      <c r="A8" s="6" t="s">
        <v>138</v>
      </c>
      <c r="B8" s="7" t="s">
        <v>139</v>
      </c>
      <c r="C8" s="14" t="s">
        <v>134</v>
      </c>
    </row>
    <row r="9" customFormat="false" ht="43.5" hidden="false" customHeight="true" outlineLevel="0" collapsed="false">
      <c r="A9" s="6" t="s">
        <v>140</v>
      </c>
      <c r="B9" s="7" t="s">
        <v>141</v>
      </c>
      <c r="C9" s="14" t="s">
        <v>142</v>
      </c>
    </row>
    <row r="10" customFormat="false" ht="43.5" hidden="false" customHeight="true" outlineLevel="0" collapsed="false">
      <c r="A10" s="6" t="s">
        <v>143</v>
      </c>
      <c r="B10" s="7" t="s">
        <v>144</v>
      </c>
      <c r="C10" s="14" t="s">
        <v>145</v>
      </c>
    </row>
    <row r="11" customFormat="false" ht="43.5" hidden="false" customHeight="true" outlineLevel="0" collapsed="false">
      <c r="A11" s="6" t="s">
        <v>146</v>
      </c>
      <c r="B11" s="7" t="s">
        <v>147</v>
      </c>
      <c r="C11" s="14" t="s">
        <v>148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2026-07-21T02:16:16Z</dcterms:created>
  <dc:creator>openpyxl</dc:creator>
  <dc:description/>
  <dc:language>en-US</dc:language>
  <cp:lastModifiedBy/>
  <dcterms:modified xsi:type="dcterms:W3CDTF">2026-07-21T02:16:16Z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